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puntos" sheetId="2" r:id="rId5"/>
  </sheets>
  <definedNames/>
  <calcPr/>
</workbook>
</file>

<file path=xl/sharedStrings.xml><?xml version="1.0" encoding="utf-8"?>
<sst xmlns="http://schemas.openxmlformats.org/spreadsheetml/2006/main" count="238" uniqueCount="95">
  <si>
    <t>Marca temporal</t>
  </si>
  <si>
    <t>CAT: Primer de tot, i el teu nom?
ES: Primero de todo, ¿y tu nombre?</t>
  </si>
  <si>
    <t>CAT: Les respostes que posaràs en aquest formulari és pel chat... (Sí, hauràs de repetir el qüestionari per respondre la teva experiència en cada CHAT/Configuració)
ES: Las respuestas que pondrás en este formulario es por el chat... (Sí, tendrás que repetir el cuestionario para responder a tu experiencia en cada CHAT/Configuración)</t>
  </si>
  <si>
    <t>CAT: Com ha estat la teva experiència? (Com ha respost, si escrivia bé, si escrivia molt o poc)
ES: ¿Cómo ha sido tu experiencia? (Como ha respondido, si escribía bien, si escribía mucho o poco)</t>
  </si>
  <si>
    <t>CAT: La informació que donava era informativa o no? (Si et responia exactament al que volies saber o no)
ES: ¿La información que daba era informativa o no? (Si te respondía exactamente a lo que querías saber o no)</t>
  </si>
  <si>
    <t>CAT: Què creus que hi falta? (Quines coses pot millorar)
ES: ¿Qué crees que falta? (Qué cosas puede mejorar)</t>
  </si>
  <si>
    <t>CAT: Alguna coseta més que vulguis aportar? :D
ES: ¿Alguna cosita más que quieras aportar? :D</t>
  </si>
  <si>
    <t>anonim8</t>
  </si>
  <si>
    <t>CHAT 1</t>
  </si>
  <si>
    <t>Excel·lent / Excelente: (Ha respost de manera amable, sense faltes, la quantitat de paraules fetes servir eren les necessàries, no ha parlat de més. / Ha respondido de manera amable, sin faltas, la cantidad de palabras usadas eran las necesarias, no habló de más.)</t>
  </si>
  <si>
    <t>Sí, molt informativa / Sí, muy informativa: (Les respostes eren clares i detallades, proporcionant tota la informació necessària. / Las respuestas eran claras y detalladas, proporcionando toda la información necesaria.)</t>
  </si>
  <si>
    <t>Més precisió en les respostes / Más precisión en las respuestas: (El ChatBot podria proporcionar respostes més exactes i concretes. / El ChatBot podría proporcionar respuestas más exactas y concretas.)</t>
  </si>
  <si>
    <t>CHAT 2</t>
  </si>
  <si>
    <t>Bona / Buena: (Ha respost de manera correcta, amb poques faltes, la quantitat de paraules era apropiada. / Ha respondido de manera correcta, con pocas faltas, la cantidad de palabras era apropiada.)</t>
  </si>
  <si>
    <t>Sí, informativa: (Les respostes eren útils, però podrien ser més detallades. / Las respuestas eran útiles, pero podrían ser más detalladas.)</t>
  </si>
  <si>
    <t>Millor comprensió del context / Mejor comprensión del contexto: (El ChatBot podria entendre millor el context de les preguntes. / El ChatBot podría entender mejor el contexto de las preguntas.)</t>
  </si>
  <si>
    <t>CHAT 3</t>
  </si>
  <si>
    <t>CHAT 4</t>
  </si>
  <si>
    <t>anonim12</t>
  </si>
  <si>
    <t>Escribia bien, pero excesivamente lento</t>
  </si>
  <si>
    <t>Velocidad</t>
  </si>
  <si>
    <t>Ño</t>
  </si>
  <si>
    <t>Escribía bien, pero excesivamente lento</t>
  </si>
  <si>
    <t>Més interacció natural / Más interacción natural: (El ChatBot podria tenir una conversa més fluida i semblant a la d'un humà. / El ChatBot podría tener una conversación más fluida y parecida a la de un humano.)</t>
  </si>
  <si>
    <t>Escribia bien, pero excesivamente lento, ests fue la version que mas rapido respondía</t>
  </si>
  <si>
    <t>Empezó respondiendo en castellano y luego pasó a Catalán, pero fue medianamente rapido</t>
  </si>
  <si>
    <t>Cuestionario repetido</t>
  </si>
  <si>
    <t>anonim10</t>
  </si>
  <si>
    <t>Las respuestas eran tan precisas que eran demasiado largas.</t>
  </si>
  <si>
    <t>No, está muy bien :D</t>
  </si>
  <si>
    <t>Respuestas muy largas</t>
  </si>
  <si>
    <t>Está muy bien :D</t>
  </si>
  <si>
    <t xml:space="preserve">Las respuestas son largas </t>
  </si>
  <si>
    <t>Que en casi todas al final del texto pone: si tienes alguna duda puedes preguntar y cosas así y en esta no, pero por lo demás está good :D</t>
  </si>
  <si>
    <t xml:space="preserve">Los textos son largos </t>
  </si>
  <si>
    <t>Me hace gracia que diga: bienvenido a la web del institut doctor puigvert :D</t>
  </si>
  <si>
    <t>anonim2</t>
  </si>
  <si>
    <t>Res, tot perfecte.</t>
  </si>
  <si>
    <t>Quan està generant els textos, quan hi ha alguna paraula en negreta es veuen els asteriscs mentre s’escriu la paraula, crec que només per perfeccionar i estética (i si és possible fer-ho), fer que no apareguin. I passa el mateix quan en una paraula es vol insertar un enllaç concret, es veuen els claudators etc. Però, tota la resta perfecte!</t>
  </si>
  <si>
    <t>Dolenta / Mala: (Ha respost amb moltes faltes, i la quantitat de paraules era excessiva o molt baixa. / Ha respondido con muchas faltas, y la cantidad de palabras era excesiva o muy baja.)</t>
  </si>
  <si>
    <t>Poc informativa / Poco informativa: (Les respostes eren vagues i no proporcionaven tota la informació necessària. / Las respuestas eran vagas y no proporcionaban toda la información necesaria.)</t>
  </si>
  <si>
    <t>Mescla el català i el castellà.</t>
  </si>
  <si>
    <t>anonim5</t>
  </si>
  <si>
    <t>Ha estado todo perfecto, ha sido como hablar con un experto del instituto,pero ha habido algun error como que ponia el ESO, y no la ESO o que havia algun enlace que no se ha cargado y ponia: [Pàgina de petició de cita](pàgina de petició de cita)</t>
  </si>
  <si>
    <t xml:space="preserve">Le he echo una pregunta sobre una cosa la cual no desponia la información y me ha dado alternativas sobre como encontrar tal información, cosa que me ha parecido muy bien </t>
  </si>
  <si>
    <t>Molt Dolenta / Muy Mala: (La resposta no era comprensible o no era adequada, moltes faltes, massa paraules o massa poques. / La respuesta no era comprensible o no era adecuada, muchas faltas, demasiadas palabras o muy pocas.)</t>
  </si>
  <si>
    <t>Gens informativa / Nada informativa: (Les respostes no eren útils o no proporcionaven informació rellevant. / Las respuestas no eran útiles o no proporcionaban información relevante.)</t>
  </si>
  <si>
    <t>Ha habido una gran diferencia entre el primer chat. Algunas respuestas han sido coherentes a pesar de que habían muchas líneas en las que era amable y muy pocas con información útil. Las preguntas más especificas no las ha sabido responder, así como el chat 1 si, y en ves de responder que no lo sabia ha empezado a escribir cosas totalmente aleatorias.</t>
  </si>
  <si>
    <t>anonim7</t>
  </si>
  <si>
    <t xml:space="preserve">He hechado en falta un poco de interacción natural, y quizás un poco de más precisión en las respuestas. </t>
  </si>
  <si>
    <t>ha agut un problema amb el servidor</t>
  </si>
  <si>
    <t>anonim11</t>
  </si>
  <si>
    <t>Cuando le pregunto en catalán me responde en castellano.</t>
  </si>
  <si>
    <t xml:space="preserve">Error  interno al iniciar la conversación </t>
  </si>
  <si>
    <t>Bona / Buena, pero mezcla catalán y castellano</t>
  </si>
  <si>
    <t>anonim4</t>
  </si>
  <si>
    <t>Mi problema principal fue que me dio un par de errores por conexión entoces puede que sea problema mio o de que en el momento que realize la prueba alomejor los servidores tenian problemas</t>
  </si>
  <si>
    <t>anonim6</t>
  </si>
  <si>
    <t>Comete algunos fallos gramaticales,  homite informacion importante como ciertos cursos que senpueden realizar, tiene una comunicacion muy basica, le cuesta entender ciertos diminutivos como "insti" i por alguna razon tarda mas en responder cuantos mas signos de puntuacion se utilicen</t>
  </si>
  <si>
    <t>Homite informacion abeces, otra la da erronea , como por ejemplo homitir la existencia de los itinerario o decir que damos musica como una clase entera aparte.</t>
  </si>
  <si>
    <t>Falta informacion en los textos i a pesar de ello, son larguissimos, estaria bien  que se redujece el texto, los errores gramaticales se han de corregir i no es capaz de responder preguntas comunes i importantes como "hablame de las instalaciones"</t>
  </si>
  <si>
    <t xml:space="preserve">Suerte con el TR </t>
  </si>
  <si>
    <t xml:space="preserve">Inventa  o malinterpreta mucha informacion, como decir que se puede cursar hasta 4 de batchiller, comete errores gramaticales. Entiendd bien las jergas i diminitivos i en general cualquier tipo de lenguaje, da informacion irrelevante del centro como sus asociaciones con el alluntmaiento o teatro cuando solo le preguntan por los estudios disponibles, textos enormes que no dan la informacion que se pide, </t>
  </si>
  <si>
    <t>Homite informacion al igual que el chat 1, con la desmejora que ademas da informacion innecesario o no perteneciente a la pregunta que se le ha echo, tampoco puede contestar preguntas relacionadas con cosas como las instalaciones o de que material i aulas dispone el centro(como lo de qje tienen taller i labs etc)</t>
  </si>
  <si>
    <t xml:space="preserve">Le falta precision a la hora de dar informacion, corregir fallos gramaticales i redicir las.cantidades.de texto, </t>
  </si>
  <si>
    <t>De nuevo, suerte con el TR</t>
  </si>
  <si>
    <t>Deja morirna este bot, ne ha dado tal cantidad de problemas que no cabennen el formulario</t>
  </si>
  <si>
    <t>No, enserio, matalo, no hay remedio, ni siquiera he podido tener conversaciones fluidas.de lo mucho que se bugueava tenia quenentrar, hacer pregunta, responde, salir  i repetir</t>
  </si>
  <si>
    <t>Le falta un ataud en el que descansar</t>
  </si>
  <si>
    <t>Por favor, acaba con el.sufrimientonde ese bot</t>
  </si>
  <si>
    <t>El bot cambia de idioma entre catalan i castellano sin aviso i sin motivo, tiene algunos errores gramaticales extraños, i usa palabras.i lenguaje exyraño, como (añada) , aún asi tiene la comunicacion mas natural.i gradable de los 3 bots(no, no cuento el 3, ese matalo)</t>
  </si>
  <si>
    <t>Homite alguna informacion pero no tanta com las demas, a pesar.de que sigue siendo in paragrafo relativamente largo, no lo es tanto como con los otros, i la.informacion dada.si bien es mejorable es muy aceptable, ademas proporciona informacion con relacion a la pregunta muy util,  por ejemplo, le pregunte "como puedo contactar con el centro" i ademas de darme todos los datos de contacto me dio la direccion, como los demas.bots, este tampoco es capaz de.responder preguntas.sobre las instañaciones del centro</t>
  </si>
  <si>
    <t>Le falta pulir la informacion que da, intentar comprimirla algo mas, corregirnlos errores gramaticales i cambios de idioma,  este por cierto es el bot con menos errores i el mejor de los 3</t>
  </si>
  <si>
    <t>Tunometecabrasaramambiche, este es el mejor bot de todos, o por lo menos el que menos se.equivoca</t>
  </si>
  <si>
    <t>anonim3</t>
  </si>
  <si>
    <t>se colgo en las respuestas últimas</t>
  </si>
  <si>
    <t>Este chat se colgó pero luego se disculpo y dió las respuestas de las preguntas anteriores</t>
  </si>
  <si>
    <t>No llego a funcionar</t>
  </si>
  <si>
    <t>Las respuestas fueron muy buenas</t>
  </si>
  <si>
    <t>Las respuestas eran las más humanas y educadas de los chats</t>
  </si>
  <si>
    <t>anonim1</t>
  </si>
  <si>
    <t>Excelente, pero algunas palabras como las que están completamente en mayúsculas y algunas en negrita no las traduce al castellano y las escribe en catalán.</t>
  </si>
  <si>
    <t>Todo está bien, solo cambiaria lo de que algunas palabras no las traduzca</t>
  </si>
  <si>
    <t>Algunas palabras no las traduce al castellano y las escribe en catalán.</t>
  </si>
  <si>
    <t>En algunas partes era redundante y había frases que carecían de sentido.</t>
  </si>
  <si>
    <t>Poco informativa, además al preguntarle por las posibles modalidades de bachilleratos me ha dicho muchas más opciones que los otros chats por lo que creo que la información era errónea.</t>
  </si>
  <si>
    <t>Más precisión en las respuestas y más interacción natural</t>
  </si>
  <si>
    <t>glm4:9b-chat-q8_0</t>
  </si>
  <si>
    <t>wizardlm2:7b-q8_0</t>
  </si>
  <si>
    <t>phi3:14b-medium-128k-instruct-q6_K</t>
  </si>
  <si>
    <t>internlm2:7b-chat-v2.5-q8_0</t>
  </si>
  <si>
    <t>over 5</t>
  </si>
  <si>
    <t>over 4</t>
  </si>
  <si>
    <t>max 9</t>
  </si>
  <si>
    <t>over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</si>
</sst>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4" xfId="0" applyFont="1" applyNumberFormat="1"/>
    <xf borderId="0" fillId="0" fontId="1" numFmtId="0" xfId="0" applyFont="1"/>
    <xf borderId="0" fillId="3" fontId="1" numFmtId="0" xfId="0" applyFill="1" applyFont="1"/>
    <xf borderId="0" fillId="4" fontId="1" numFmtId="0" xfId="0" applyFill="1" applyFont="1"/>
    <xf borderId="0" fillId="3" fontId="1" numFmtId="2" xfId="0" applyFont="1" applyNumberFormat="1"/>
    <xf borderId="0" fillId="3" fontId="3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horizontal="right"/>
    </xf>
    <xf borderId="0" fillId="0" fontId="1" numFmtId="2" xfId="0" applyAlignment="1" applyFont="1" applyNumberFormat="1">
      <alignment horizontal="right" textRotation="0"/>
    </xf>
    <xf borderId="0" fillId="0" fontId="1" numFmtId="0" xfId="0" applyAlignment="1" applyFont="1">
      <alignment horizontal="right"/>
    </xf>
    <xf borderId="0" fillId="4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29.13"/>
    <col customWidth="1" min="5" max="5" width="161.5"/>
    <col customWidth="1" min="6" max="6" width="158.25"/>
    <col customWidth="1" min="7" max="7" width="107.63"/>
    <col customWidth="1" min="8" max="8" width="52.63"/>
    <col customWidth="1" min="9" max="1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45489.89764481482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>
        <v>45489.89921133102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>
      <c r="A4" s="2">
        <v>45489.89954262732</v>
      </c>
      <c r="B4" s="3" t="s">
        <v>7</v>
      </c>
      <c r="C4" s="3" t="s">
        <v>16</v>
      </c>
      <c r="D4" s="3" t="s">
        <v>13</v>
      </c>
      <c r="E4" s="3" t="s">
        <v>10</v>
      </c>
      <c r="F4" s="3" t="s">
        <v>15</v>
      </c>
    </row>
    <row r="5">
      <c r="A5" s="2">
        <v>45489.89986351852</v>
      </c>
      <c r="B5" s="3" t="s">
        <v>7</v>
      </c>
      <c r="C5" s="3" t="s">
        <v>17</v>
      </c>
      <c r="D5" s="3" t="s">
        <v>13</v>
      </c>
      <c r="E5" s="3" t="s">
        <v>14</v>
      </c>
      <c r="F5" s="3" t="s">
        <v>11</v>
      </c>
    </row>
    <row r="6">
      <c r="A6" s="2">
        <v>45490.08787106481</v>
      </c>
      <c r="B6" s="3" t="s">
        <v>18</v>
      </c>
      <c r="C6" s="3" t="s">
        <v>8</v>
      </c>
      <c r="D6" s="3" t="s">
        <v>19</v>
      </c>
      <c r="E6" s="3" t="s">
        <v>14</v>
      </c>
      <c r="F6" s="3" t="s">
        <v>20</v>
      </c>
      <c r="G6" s="3" t="s">
        <v>21</v>
      </c>
    </row>
    <row r="7">
      <c r="A7" s="2">
        <v>45490.08862921296</v>
      </c>
      <c r="B7" s="3" t="s">
        <v>18</v>
      </c>
      <c r="C7" s="3" t="s">
        <v>12</v>
      </c>
      <c r="D7" s="3" t="s">
        <v>22</v>
      </c>
      <c r="E7" s="3" t="s">
        <v>10</v>
      </c>
      <c r="F7" s="3" t="s">
        <v>23</v>
      </c>
      <c r="G7" s="3" t="s">
        <v>21</v>
      </c>
    </row>
    <row r="8">
      <c r="A8" s="2">
        <v>45490.08909658565</v>
      </c>
      <c r="B8" s="3" t="s">
        <v>18</v>
      </c>
      <c r="C8" s="3" t="s">
        <v>16</v>
      </c>
      <c r="D8" s="3" t="s">
        <v>24</v>
      </c>
      <c r="E8" s="3" t="s">
        <v>14</v>
      </c>
      <c r="F8" s="3" t="s">
        <v>23</v>
      </c>
      <c r="G8" s="3" t="s">
        <v>21</v>
      </c>
    </row>
    <row r="9">
      <c r="A9" s="2">
        <v>45490.09703590278</v>
      </c>
      <c r="B9" s="3" t="s">
        <v>18</v>
      </c>
      <c r="C9" s="3" t="s">
        <v>17</v>
      </c>
      <c r="D9" s="3" t="s">
        <v>25</v>
      </c>
      <c r="E9" s="3" t="s">
        <v>10</v>
      </c>
      <c r="F9" s="3" t="s">
        <v>11</v>
      </c>
      <c r="G9" s="3" t="s">
        <v>26</v>
      </c>
    </row>
    <row r="10">
      <c r="A10" s="2">
        <v>45490.83968927083</v>
      </c>
      <c r="B10" s="3" t="s">
        <v>27</v>
      </c>
      <c r="C10" s="3" t="s">
        <v>8</v>
      </c>
      <c r="D10" s="3" t="s">
        <v>9</v>
      </c>
      <c r="E10" s="3" t="s">
        <v>10</v>
      </c>
      <c r="F10" s="3" t="s">
        <v>28</v>
      </c>
      <c r="G10" s="3" t="s">
        <v>29</v>
      </c>
    </row>
    <row r="11">
      <c r="A11" s="2">
        <v>45490.84043538195</v>
      </c>
      <c r="B11" s="3" t="s">
        <v>27</v>
      </c>
      <c r="C11" s="3" t="s">
        <v>12</v>
      </c>
      <c r="D11" s="3" t="s">
        <v>9</v>
      </c>
      <c r="E11" s="3" t="s">
        <v>10</v>
      </c>
      <c r="F11" s="3" t="s">
        <v>30</v>
      </c>
      <c r="G11" s="3" t="s">
        <v>31</v>
      </c>
    </row>
    <row r="12">
      <c r="A12" s="2">
        <v>45490.84153924769</v>
      </c>
      <c r="B12" s="3" t="s">
        <v>27</v>
      </c>
      <c r="C12" s="3" t="s">
        <v>17</v>
      </c>
      <c r="D12" s="3" t="s">
        <v>9</v>
      </c>
      <c r="E12" s="3" t="s">
        <v>10</v>
      </c>
      <c r="F12" s="3" t="s">
        <v>32</v>
      </c>
      <c r="G12" s="3" t="s">
        <v>33</v>
      </c>
    </row>
    <row r="13">
      <c r="A13" s="2">
        <v>45490.845203993056</v>
      </c>
      <c r="B13" s="3" t="s">
        <v>27</v>
      </c>
      <c r="C13" s="3" t="s">
        <v>16</v>
      </c>
      <c r="D13" s="3" t="s">
        <v>9</v>
      </c>
      <c r="E13" s="3" t="s">
        <v>10</v>
      </c>
      <c r="F13" s="3" t="s">
        <v>34</v>
      </c>
      <c r="G13" s="3" t="s">
        <v>35</v>
      </c>
    </row>
    <row r="14">
      <c r="A14" s="2">
        <v>45491.66233355324</v>
      </c>
      <c r="B14" s="3" t="s">
        <v>36</v>
      </c>
      <c r="C14" s="3" t="s">
        <v>8</v>
      </c>
      <c r="D14" s="3" t="s">
        <v>9</v>
      </c>
      <c r="E14" s="3" t="s">
        <v>10</v>
      </c>
      <c r="F14" s="3" t="s">
        <v>37</v>
      </c>
      <c r="G14" s="3" t="s">
        <v>38</v>
      </c>
    </row>
    <row r="15">
      <c r="A15" s="2">
        <v>45491.68328440972</v>
      </c>
      <c r="B15" s="4" t="s">
        <v>36</v>
      </c>
      <c r="C15" s="3" t="s">
        <v>12</v>
      </c>
      <c r="D15" s="3" t="s">
        <v>13</v>
      </c>
      <c r="E15" s="3" t="s">
        <v>10</v>
      </c>
      <c r="F15" s="3" t="s">
        <v>23</v>
      </c>
    </row>
    <row r="16">
      <c r="A16" s="2">
        <v>45492.98769121528</v>
      </c>
      <c r="B16" s="4" t="s">
        <v>36</v>
      </c>
      <c r="C16" s="3" t="s">
        <v>17</v>
      </c>
      <c r="D16" s="3" t="s">
        <v>39</v>
      </c>
      <c r="E16" s="3" t="s">
        <v>40</v>
      </c>
      <c r="F16" s="3" t="s">
        <v>11</v>
      </c>
      <c r="G16" s="3" t="s">
        <v>41</v>
      </c>
    </row>
    <row r="17">
      <c r="A17" s="2">
        <v>45493.70239413195</v>
      </c>
      <c r="B17" s="3" t="s">
        <v>42</v>
      </c>
      <c r="C17" s="3" t="s">
        <v>8</v>
      </c>
      <c r="D17" s="3" t="s">
        <v>9</v>
      </c>
      <c r="E17" s="3" t="s">
        <v>10</v>
      </c>
      <c r="F17" s="3" t="s">
        <v>43</v>
      </c>
      <c r="G17" s="3" t="s">
        <v>44</v>
      </c>
    </row>
    <row r="18">
      <c r="A18" s="2">
        <v>45493.70659232639</v>
      </c>
      <c r="B18" s="3" t="s">
        <v>42</v>
      </c>
      <c r="C18" s="3" t="s">
        <v>12</v>
      </c>
      <c r="D18" s="3" t="s">
        <v>45</v>
      </c>
      <c r="E18" s="3" t="s">
        <v>46</v>
      </c>
      <c r="F18" s="3" t="s">
        <v>11</v>
      </c>
      <c r="G18" s="3" t="s">
        <v>47</v>
      </c>
    </row>
    <row r="19">
      <c r="A19" s="2">
        <v>45495.524064074074</v>
      </c>
      <c r="B19" s="3" t="s">
        <v>48</v>
      </c>
      <c r="C19" s="3" t="s">
        <v>8</v>
      </c>
      <c r="D19" s="3" t="s">
        <v>13</v>
      </c>
      <c r="E19" s="3" t="s">
        <v>10</v>
      </c>
      <c r="F19" s="3" t="s">
        <v>49</v>
      </c>
    </row>
    <row r="20">
      <c r="A20" s="2">
        <v>45495.52865087963</v>
      </c>
      <c r="B20" s="3" t="s">
        <v>48</v>
      </c>
      <c r="C20" s="3" t="s">
        <v>12</v>
      </c>
      <c r="D20" s="3" t="s">
        <v>39</v>
      </c>
      <c r="E20" s="3" t="s">
        <v>50</v>
      </c>
      <c r="F20" s="3" t="s">
        <v>23</v>
      </c>
    </row>
    <row r="21">
      <c r="A21" s="2">
        <v>45496.00894581019</v>
      </c>
      <c r="B21" s="3" t="s">
        <v>48</v>
      </c>
      <c r="C21" s="3" t="s">
        <v>8</v>
      </c>
      <c r="D21" s="3" t="s">
        <v>13</v>
      </c>
      <c r="E21" s="3" t="s">
        <v>14</v>
      </c>
      <c r="F21" s="3" t="s">
        <v>15</v>
      </c>
    </row>
    <row r="22">
      <c r="A22" s="2">
        <v>45496.42333319444</v>
      </c>
      <c r="B22" s="3" t="s">
        <v>51</v>
      </c>
      <c r="C22" s="3" t="s">
        <v>8</v>
      </c>
      <c r="D22" s="3" t="s">
        <v>13</v>
      </c>
      <c r="E22" s="3" t="s">
        <v>10</v>
      </c>
      <c r="F22" s="3" t="s">
        <v>23</v>
      </c>
      <c r="G22" s="3" t="s">
        <v>52</v>
      </c>
    </row>
    <row r="23">
      <c r="A23" s="2">
        <v>45496.45226706019</v>
      </c>
      <c r="B23" s="3" t="s">
        <v>51</v>
      </c>
      <c r="C23" s="3" t="s">
        <v>12</v>
      </c>
      <c r="D23" s="3" t="s">
        <v>53</v>
      </c>
      <c r="E23" s="3" t="s">
        <v>53</v>
      </c>
      <c r="F23" s="3" t="s">
        <v>53</v>
      </c>
    </row>
    <row r="24">
      <c r="A24" s="2">
        <v>45496.615471655095</v>
      </c>
      <c r="B24" s="3" t="s">
        <v>51</v>
      </c>
      <c r="C24" s="3" t="s">
        <v>17</v>
      </c>
      <c r="D24" s="3" t="s">
        <v>54</v>
      </c>
      <c r="E24" s="3" t="s">
        <v>14</v>
      </c>
      <c r="F24" s="3" t="s">
        <v>11</v>
      </c>
    </row>
    <row r="25">
      <c r="A25" s="2">
        <v>45496.62316497685</v>
      </c>
      <c r="B25" s="3" t="s">
        <v>51</v>
      </c>
      <c r="C25" s="3" t="s">
        <v>12</v>
      </c>
      <c r="D25" s="3" t="s">
        <v>13</v>
      </c>
      <c r="E25" s="3" t="s">
        <v>10</v>
      </c>
      <c r="F25" s="3" t="s">
        <v>23</v>
      </c>
    </row>
    <row r="26">
      <c r="A26" s="2">
        <v>45496.71603523148</v>
      </c>
      <c r="B26" s="3" t="s">
        <v>55</v>
      </c>
      <c r="C26" s="3" t="s">
        <v>12</v>
      </c>
      <c r="D26" s="3" t="s">
        <v>13</v>
      </c>
      <c r="E26" s="3" t="s">
        <v>14</v>
      </c>
      <c r="F26" s="3" t="s">
        <v>56</v>
      </c>
    </row>
    <row r="27">
      <c r="A27" s="2">
        <v>45496.71629667824</v>
      </c>
      <c r="B27" s="3" t="s">
        <v>55</v>
      </c>
      <c r="C27" s="3" t="s">
        <v>16</v>
      </c>
      <c r="D27" s="3" t="s">
        <v>13</v>
      </c>
      <c r="E27" s="3" t="s">
        <v>14</v>
      </c>
      <c r="F27" s="3" t="s">
        <v>15</v>
      </c>
    </row>
    <row r="28">
      <c r="A28" s="2">
        <v>45496.71653239583</v>
      </c>
      <c r="B28" s="3" t="s">
        <v>55</v>
      </c>
      <c r="C28" s="3" t="s">
        <v>17</v>
      </c>
      <c r="D28" s="3" t="s">
        <v>9</v>
      </c>
      <c r="E28" s="3" t="s">
        <v>10</v>
      </c>
      <c r="F28" s="3" t="s">
        <v>15</v>
      </c>
    </row>
    <row r="29">
      <c r="A29" s="2">
        <v>45496.75370598379</v>
      </c>
      <c r="B29" s="3" t="s">
        <v>57</v>
      </c>
      <c r="C29" s="3" t="s">
        <v>8</v>
      </c>
      <c r="D29" s="3" t="s">
        <v>58</v>
      </c>
      <c r="E29" s="3" t="s">
        <v>59</v>
      </c>
      <c r="F29" s="3" t="s">
        <v>60</v>
      </c>
      <c r="G29" s="3" t="s">
        <v>61</v>
      </c>
    </row>
    <row r="30">
      <c r="A30" s="2">
        <v>45496.75808385416</v>
      </c>
      <c r="B30" s="3" t="s">
        <v>57</v>
      </c>
      <c r="C30" s="3" t="s">
        <v>12</v>
      </c>
      <c r="D30" s="3" t="s">
        <v>62</v>
      </c>
      <c r="E30" s="3" t="s">
        <v>63</v>
      </c>
      <c r="F30" s="3" t="s">
        <v>64</v>
      </c>
      <c r="G30" s="3" t="s">
        <v>65</v>
      </c>
    </row>
    <row r="31">
      <c r="A31" s="2">
        <v>45496.759689583334</v>
      </c>
      <c r="B31" s="3" t="s">
        <v>57</v>
      </c>
      <c r="C31" s="3" t="s">
        <v>16</v>
      </c>
      <c r="D31" s="3" t="s">
        <v>66</v>
      </c>
      <c r="E31" s="3" t="s">
        <v>67</v>
      </c>
      <c r="F31" s="3" t="s">
        <v>68</v>
      </c>
      <c r="G31" s="3" t="s">
        <v>69</v>
      </c>
    </row>
    <row r="32">
      <c r="A32" s="2">
        <v>45496.766902337964</v>
      </c>
      <c r="B32" s="3" t="s">
        <v>57</v>
      </c>
      <c r="C32" s="3" t="s">
        <v>17</v>
      </c>
      <c r="D32" s="3" t="s">
        <v>70</v>
      </c>
      <c r="E32" s="3" t="s">
        <v>71</v>
      </c>
      <c r="F32" s="3" t="s">
        <v>72</v>
      </c>
      <c r="G32" s="3" t="s">
        <v>73</v>
      </c>
    </row>
    <row r="33">
      <c r="A33" s="2">
        <v>45535.770144270835</v>
      </c>
      <c r="B33" s="3" t="s">
        <v>74</v>
      </c>
      <c r="C33" s="3" t="s">
        <v>8</v>
      </c>
      <c r="D33" s="3" t="s">
        <v>9</v>
      </c>
      <c r="E33" s="3" t="s">
        <v>10</v>
      </c>
      <c r="F33" s="3" t="s">
        <v>75</v>
      </c>
    </row>
    <row r="34">
      <c r="A34" s="2">
        <v>45535.77162372685</v>
      </c>
      <c r="B34" s="3" t="s">
        <v>74</v>
      </c>
      <c r="C34" s="3" t="s">
        <v>12</v>
      </c>
      <c r="D34" s="3" t="s">
        <v>9</v>
      </c>
      <c r="E34" s="3" t="s">
        <v>10</v>
      </c>
      <c r="F34" s="3" t="s">
        <v>76</v>
      </c>
    </row>
    <row r="35">
      <c r="A35" s="2">
        <v>45535.77201626157</v>
      </c>
      <c r="B35" s="3" t="s">
        <v>74</v>
      </c>
      <c r="C35" s="3" t="s">
        <v>16</v>
      </c>
      <c r="D35" s="3" t="s">
        <v>77</v>
      </c>
      <c r="E35" s="3" t="s">
        <v>77</v>
      </c>
      <c r="F35" s="3" t="s">
        <v>77</v>
      </c>
    </row>
    <row r="36">
      <c r="A36" s="2">
        <v>45535.77332927083</v>
      </c>
      <c r="B36" s="3" t="s">
        <v>74</v>
      </c>
      <c r="C36" s="3" t="s">
        <v>17</v>
      </c>
      <c r="D36" s="3" t="s">
        <v>9</v>
      </c>
      <c r="E36" s="3" t="s">
        <v>10</v>
      </c>
      <c r="F36" s="3" t="s">
        <v>78</v>
      </c>
      <c r="G36" s="3" t="s">
        <v>79</v>
      </c>
    </row>
    <row r="37">
      <c r="A37" s="2">
        <v>45538.53238212963</v>
      </c>
      <c r="B37" s="3" t="s">
        <v>80</v>
      </c>
      <c r="C37" s="3" t="s">
        <v>8</v>
      </c>
      <c r="D37" s="3" t="s">
        <v>81</v>
      </c>
      <c r="E37" s="3" t="s">
        <v>10</v>
      </c>
      <c r="F37" s="3" t="s">
        <v>82</v>
      </c>
    </row>
    <row r="38">
      <c r="A38" s="2">
        <v>45538.53740436342</v>
      </c>
      <c r="B38" s="3" t="s">
        <v>80</v>
      </c>
      <c r="C38" s="3" t="s">
        <v>12</v>
      </c>
      <c r="D38" s="3" t="s">
        <v>13</v>
      </c>
      <c r="E38" s="3" t="s">
        <v>14</v>
      </c>
      <c r="F38" s="3" t="s">
        <v>11</v>
      </c>
      <c r="G38" s="3" t="s">
        <v>83</v>
      </c>
    </row>
    <row r="39">
      <c r="A39" s="2">
        <v>45538.54669120371</v>
      </c>
      <c r="B39" s="3" t="s">
        <v>80</v>
      </c>
      <c r="C39" s="3" t="s">
        <v>17</v>
      </c>
      <c r="D39" s="3" t="s">
        <v>84</v>
      </c>
      <c r="E39" s="3" t="s">
        <v>85</v>
      </c>
      <c r="F39" s="3" t="s">
        <v>86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5">
        <f>'Respuestas de formulario 1'!A2</f>
        <v>45489.89764</v>
      </c>
      <c r="B1" s="6" t="str">
        <f>'Respuestas de formulario 1'!B2</f>
        <v>anonim8</v>
      </c>
      <c r="C1" s="6" t="str">
        <f>'Respuestas de formulario 1'!C2</f>
        <v>CHAT 1</v>
      </c>
      <c r="D1" s="6" t="str">
        <f>pregunta1('Respuestas de formulario 1'!D2)</f>
        <v>#NAME?</v>
      </c>
      <c r="E1" s="6" t="str">
        <f>pregunta2('Respuestas de formulario 1'!E2)</f>
        <v>#NAME?</v>
      </c>
      <c r="P1" s="3" t="s">
        <v>8</v>
      </c>
      <c r="Q1" s="7" t="str">
        <f>count_for(P1,C1:C38,D1:D38)</f>
        <v>#NAME?</v>
      </c>
      <c r="R1" s="7" t="str">
        <f>count_for(P1,C1:C38,E1:E38)</f>
        <v>#NAME?</v>
      </c>
      <c r="T1" s="8" t="str">
        <f t="shared" ref="T1:T4" si="1">SUM(Q1,R1)</f>
        <v>#NAME?</v>
      </c>
      <c r="U1" s="3" t="s">
        <v>87</v>
      </c>
    </row>
    <row r="2">
      <c r="A2" s="5">
        <f>'Respuestas de formulario 1'!A3</f>
        <v>45489.89921</v>
      </c>
      <c r="B2" s="6" t="str">
        <f>'Respuestas de formulario 1'!B3</f>
        <v>anonim8</v>
      </c>
      <c r="C2" s="6" t="str">
        <f>'Respuestas de formulario 1'!C3</f>
        <v>CHAT 2</v>
      </c>
      <c r="D2" s="6" t="str">
        <f>pregunta1('Respuestas de formulario 1'!D3)</f>
        <v>#NAME?</v>
      </c>
      <c r="E2" s="6" t="str">
        <f>pregunta2('Respuestas de formulario 1'!E3)</f>
        <v>#NAME?</v>
      </c>
      <c r="P2" s="3" t="s">
        <v>12</v>
      </c>
      <c r="Q2" s="6" t="str">
        <f>count_for(P2,C1:C38,D1:D38)</f>
        <v>#NAME?</v>
      </c>
      <c r="R2" s="6" t="str">
        <f>count_for(P2,C1:C38,E1:E38)</f>
        <v>#NAME?</v>
      </c>
      <c r="T2" s="6" t="str">
        <f t="shared" si="1"/>
        <v>#NAME?</v>
      </c>
      <c r="U2" s="3" t="s">
        <v>88</v>
      </c>
    </row>
    <row r="3">
      <c r="A3" s="5">
        <f>'Respuestas de formulario 1'!A4</f>
        <v>45489.89954</v>
      </c>
      <c r="B3" s="6" t="str">
        <f>'Respuestas de formulario 1'!B4</f>
        <v>anonim8</v>
      </c>
      <c r="C3" s="6" t="str">
        <f>'Respuestas de formulario 1'!C4</f>
        <v>CHAT 3</v>
      </c>
      <c r="D3" s="6" t="str">
        <f>pregunta1('Respuestas de formulario 1'!D4)</f>
        <v>#NAME?</v>
      </c>
      <c r="E3" s="6" t="str">
        <f>pregunta2('Respuestas de formulario 1'!E4)</f>
        <v>#NAME?</v>
      </c>
      <c r="P3" s="3" t="s">
        <v>16</v>
      </c>
      <c r="Q3" s="6" t="str">
        <f>count_for(P3,C1:C38,D1:D38)</f>
        <v>#NAME?</v>
      </c>
      <c r="R3" s="6" t="str">
        <f>count_for(P3,C1:C38,E1:E38)</f>
        <v>#NAME?</v>
      </c>
      <c r="T3" s="6" t="str">
        <f t="shared" si="1"/>
        <v>#NAME?</v>
      </c>
      <c r="U3" s="3" t="s">
        <v>89</v>
      </c>
    </row>
    <row r="4">
      <c r="A4" s="5">
        <f>'Respuestas de formulario 1'!A5</f>
        <v>45489.89986</v>
      </c>
      <c r="B4" s="6" t="str">
        <f>'Respuestas de formulario 1'!B5</f>
        <v>anonim8</v>
      </c>
      <c r="C4" s="6" t="str">
        <f>'Respuestas de formulario 1'!C5</f>
        <v>CHAT 4</v>
      </c>
      <c r="D4" s="6" t="str">
        <f>pregunta1('Respuestas de formulario 1'!D5)</f>
        <v>#NAME?</v>
      </c>
      <c r="E4" s="6" t="str">
        <f>pregunta2('Respuestas de formulario 1'!E5)</f>
        <v>#NAME?</v>
      </c>
      <c r="P4" s="3" t="s">
        <v>17</v>
      </c>
      <c r="Q4" s="6" t="str">
        <f>count_for(P4,C1:C38,D1:D38)</f>
        <v>#NAME?</v>
      </c>
      <c r="R4" s="6" t="str">
        <f>count_for(P4,C1:C38,E1:E38)</f>
        <v>#NAME?</v>
      </c>
      <c r="T4" s="6" t="str">
        <f t="shared" si="1"/>
        <v>#NAME?</v>
      </c>
      <c r="U4" s="3" t="s">
        <v>90</v>
      </c>
    </row>
    <row r="5">
      <c r="A5" s="5">
        <f>'Respuestas de formulario 1'!A6</f>
        <v>45490.08787</v>
      </c>
      <c r="B5" s="6" t="str">
        <f>'Respuestas de formulario 1'!B6</f>
        <v>anonim12</v>
      </c>
      <c r="C5" s="6" t="str">
        <f>'Respuestas de formulario 1'!C6</f>
        <v>CHAT 1</v>
      </c>
      <c r="D5" s="3">
        <v>3.0</v>
      </c>
      <c r="E5" s="6" t="str">
        <f>pregunta2('Respuestas de formulario 1'!E6)</f>
        <v>#NAME?</v>
      </c>
    </row>
    <row r="6">
      <c r="A6" s="5">
        <f>'Respuestas de formulario 1'!A7</f>
        <v>45490.08863</v>
      </c>
      <c r="B6" s="6" t="str">
        <f>'Respuestas de formulario 1'!B7</f>
        <v>anonim12</v>
      </c>
      <c r="C6" s="6" t="str">
        <f>'Respuestas de formulario 1'!C7</f>
        <v>CHAT 2</v>
      </c>
      <c r="D6" s="3">
        <v>3.0</v>
      </c>
      <c r="E6" s="6" t="str">
        <f>pregunta2('Respuestas de formulario 1'!E7)</f>
        <v>#NAME?</v>
      </c>
      <c r="Q6" s="3" t="s">
        <v>91</v>
      </c>
      <c r="R6" s="3" t="s">
        <v>92</v>
      </c>
      <c r="T6" s="3" t="s">
        <v>93</v>
      </c>
    </row>
    <row r="7">
      <c r="A7" s="5">
        <f>'Respuestas de formulario 1'!A8</f>
        <v>45490.0891</v>
      </c>
      <c r="B7" s="6" t="str">
        <f>'Respuestas de formulario 1'!B8</f>
        <v>anonim12</v>
      </c>
      <c r="C7" s="6" t="str">
        <f>'Respuestas de formulario 1'!C8</f>
        <v>CHAT 3</v>
      </c>
      <c r="D7" s="3">
        <v>3.0</v>
      </c>
      <c r="E7" s="6" t="str">
        <f>pregunta2('Respuestas de formulario 1'!E8)</f>
        <v>#NAME?</v>
      </c>
      <c r="P7" s="3" t="s">
        <v>8</v>
      </c>
      <c r="Q7" s="9" t="str">
        <f>count_for_over_n_avg(P1,C1:C1000,D1:D38)</f>
        <v>#NAME?</v>
      </c>
      <c r="R7" s="10" t="str">
        <f>count_for_over_n_avg(P1,C1:C38,E1:E38)</f>
        <v>#NAME?</v>
      </c>
      <c r="T7" s="8" t="str">
        <f t="shared" ref="T7:T10" si="2">SUM(Q7,R7)</f>
        <v>#NAME?</v>
      </c>
      <c r="U7" s="6" t="str">
        <f t="shared" ref="U7:U10" si="3">U1</f>
        <v>glm4:9b-chat-q8_0</v>
      </c>
    </row>
    <row r="8">
      <c r="A8" s="5">
        <f>'Respuestas de formulario 1'!A9</f>
        <v>45490.09704</v>
      </c>
      <c r="B8" s="6" t="str">
        <f>'Respuestas de formulario 1'!B9</f>
        <v>anonim12</v>
      </c>
      <c r="C8" s="6" t="str">
        <f>'Respuestas de formulario 1'!C9</f>
        <v>CHAT 4</v>
      </c>
      <c r="D8" s="3">
        <v>3.0</v>
      </c>
      <c r="E8" s="6" t="str">
        <f>pregunta2('Respuestas de formulario 1'!E9)</f>
        <v>#NAME?</v>
      </c>
      <c r="P8" s="3" t="s">
        <v>12</v>
      </c>
      <c r="Q8" s="11" t="str">
        <f>count_for_over_n_avg(P2,C1:C38,D1:D38)</f>
        <v>#NAME?</v>
      </c>
      <c r="R8" s="12" t="str">
        <f>count_for_over_n_avg(P2,C1:C38,E1:E38)</f>
        <v>#NAME?</v>
      </c>
      <c r="T8" s="6" t="str">
        <f t="shared" si="2"/>
        <v>#NAME?</v>
      </c>
      <c r="U8" s="6" t="str">
        <f t="shared" si="3"/>
        <v>wizardlm2:7b-q8_0</v>
      </c>
    </row>
    <row r="9">
      <c r="A9" s="5">
        <f>'Respuestas de formulario 1'!A10</f>
        <v>45490.83969</v>
      </c>
      <c r="B9" s="6" t="str">
        <f>'Respuestas de formulario 1'!B10</f>
        <v>anonim10</v>
      </c>
      <c r="C9" s="6" t="str">
        <f>'Respuestas de formulario 1'!C10</f>
        <v>CHAT 1</v>
      </c>
      <c r="D9" s="6" t="str">
        <f>pregunta1('Respuestas de formulario 1'!D10)</f>
        <v>#NAME?</v>
      </c>
      <c r="E9" s="6" t="str">
        <f>pregunta2('Respuestas de formulario 1'!E10)</f>
        <v>#NAME?</v>
      </c>
      <c r="P9" s="3" t="s">
        <v>16</v>
      </c>
      <c r="Q9" s="11" t="str">
        <f>count_for_over_n_avg(P3,C1:C38,D1:D38)</f>
        <v>#NAME?</v>
      </c>
      <c r="R9" s="13" t="str">
        <f>count_for_over_n_avg(P3,C1:C38,E1:E38)</f>
        <v>#NAME?</v>
      </c>
      <c r="T9" s="6" t="str">
        <f t="shared" si="2"/>
        <v>#NAME?</v>
      </c>
      <c r="U9" s="6" t="str">
        <f t="shared" si="3"/>
        <v>phi3:14b-medium-128k-instruct-q6_K</v>
      </c>
    </row>
    <row r="10">
      <c r="A10" s="5">
        <f>'Respuestas de formulario 1'!A11</f>
        <v>45490.84044</v>
      </c>
      <c r="B10" s="6" t="str">
        <f>'Respuestas de formulario 1'!B11</f>
        <v>anonim10</v>
      </c>
      <c r="C10" s="6" t="str">
        <f>'Respuestas de formulario 1'!C11</f>
        <v>CHAT 2</v>
      </c>
      <c r="D10" s="6" t="str">
        <f>pregunta1('Respuestas de formulario 1'!D11)</f>
        <v>#NAME?</v>
      </c>
      <c r="E10" s="6" t="str">
        <f>pregunta2('Respuestas de formulario 1'!E11)</f>
        <v>#NAME?</v>
      </c>
      <c r="P10" s="3" t="s">
        <v>17</v>
      </c>
      <c r="Q10" s="11" t="str">
        <f>count_for_over_n_avg(P4,C1:C38,D1:D38)</f>
        <v>#NAME?</v>
      </c>
      <c r="R10" s="12" t="str">
        <f>count_for_over_n_avg(P4,C1:C38,E1:E38)</f>
        <v>#NAME?</v>
      </c>
      <c r="T10" s="6" t="str">
        <f t="shared" si="2"/>
        <v>#NAME?</v>
      </c>
      <c r="U10" s="6" t="str">
        <f t="shared" si="3"/>
        <v>internlm2:7b-chat-v2.5-q8_0</v>
      </c>
    </row>
    <row r="11">
      <c r="A11" s="5">
        <f>'Respuestas de formulario 1'!A12</f>
        <v>45490.84154</v>
      </c>
      <c r="B11" s="6" t="str">
        <f>'Respuestas de formulario 1'!B12</f>
        <v>anonim10</v>
      </c>
      <c r="C11" s="6" t="str">
        <f>'Respuestas de formulario 1'!C12</f>
        <v>CHAT 4</v>
      </c>
      <c r="D11" s="6" t="str">
        <f>pregunta1('Respuestas de formulario 1'!D12)</f>
        <v>#NAME?</v>
      </c>
      <c r="E11" s="6" t="str">
        <f>pregunta2('Respuestas de formulario 1'!E12)</f>
        <v>#NAME?</v>
      </c>
      <c r="R11" s="14"/>
    </row>
    <row r="12">
      <c r="A12" s="5">
        <f>'Respuestas de formulario 1'!A13</f>
        <v>45490.8452</v>
      </c>
      <c r="B12" s="6" t="str">
        <f>'Respuestas de formulario 1'!B13</f>
        <v>anonim10</v>
      </c>
      <c r="C12" s="6" t="str">
        <f>'Respuestas de formulario 1'!C13</f>
        <v>CHAT 3</v>
      </c>
      <c r="D12" s="6" t="str">
        <f>pregunta1('Respuestas de formulario 1'!D13)</f>
        <v>#NAME?</v>
      </c>
      <c r="E12" s="6" t="str">
        <f>pregunta2('Respuestas de formulario 1'!E13)</f>
        <v>#NAME?</v>
      </c>
    </row>
    <row r="13">
      <c r="A13" s="5">
        <f>'Respuestas de formulario 1'!A14</f>
        <v>45491.66233</v>
      </c>
      <c r="B13" s="6" t="str">
        <f>'Respuestas de formulario 1'!B14</f>
        <v>anonim2</v>
      </c>
      <c r="C13" s="6" t="str">
        <f>'Respuestas de formulario 1'!C14</f>
        <v>CHAT 1</v>
      </c>
      <c r="D13" s="6" t="str">
        <f>pregunta1('Respuestas de formulario 1'!D14)</f>
        <v>#NAME?</v>
      </c>
      <c r="E13" s="6" t="str">
        <f>pregunta2('Respuestas de formulario 1'!E14)</f>
        <v>#NAME?</v>
      </c>
      <c r="Q13" s="3" t="s">
        <v>94</v>
      </c>
      <c r="R13" s="3" t="s">
        <v>94</v>
      </c>
      <c r="T13" s="3" t="s">
        <v>94</v>
      </c>
    </row>
    <row r="14">
      <c r="A14" s="5">
        <f>'Respuestas de formulario 1'!A15</f>
        <v>45491.68328</v>
      </c>
      <c r="B14" s="6" t="str">
        <f>'Respuestas de formulario 1'!B15</f>
        <v>anonim2</v>
      </c>
      <c r="C14" s="6" t="str">
        <f>'Respuestas de formulario 1'!C15</f>
        <v>CHAT 2</v>
      </c>
      <c r="D14" s="6" t="str">
        <f>pregunta1('Respuestas de formulario 1'!D15)</f>
        <v>#NAME?</v>
      </c>
      <c r="E14" s="6" t="str">
        <f>pregunta2('Respuestas de formulario 1'!E15)</f>
        <v>#NAME?</v>
      </c>
      <c r="P14" s="3" t="s">
        <v>8</v>
      </c>
      <c r="Q14" s="9" t="str">
        <f t="shared" ref="Q14:Q17" si="4">Q7*2*10</f>
        <v>#NAME?</v>
      </c>
      <c r="R14" s="7" t="str">
        <f t="shared" ref="R14:R17" si="5">R7*(10/4)*10</f>
        <v>#NAME?</v>
      </c>
      <c r="T14" s="15" t="str">
        <f t="shared" ref="T14:T17" si="6">SUM(Q14,R14)/2</f>
        <v>#NAME?</v>
      </c>
      <c r="U14" s="6" t="str">
        <f t="shared" ref="U14:U17" si="7">U1</f>
        <v>glm4:9b-chat-q8_0</v>
      </c>
    </row>
    <row r="15">
      <c r="A15" s="5">
        <f>'Respuestas de formulario 1'!A16</f>
        <v>45492.98769</v>
      </c>
      <c r="B15" s="6" t="str">
        <f>'Respuestas de formulario 1'!B16</f>
        <v>anonim2</v>
      </c>
      <c r="C15" s="6" t="str">
        <f>'Respuestas de formulario 1'!C16</f>
        <v>CHAT 4</v>
      </c>
      <c r="D15" s="6" t="str">
        <f>pregunta1('Respuestas de formulario 1'!D16)</f>
        <v>#NAME?</v>
      </c>
      <c r="E15" s="6" t="str">
        <f>pregunta2('Respuestas de formulario 1'!E16)</f>
        <v>#NAME?</v>
      </c>
      <c r="P15" s="3" t="s">
        <v>12</v>
      </c>
      <c r="Q15" s="11" t="str">
        <f t="shared" si="4"/>
        <v>#NAME?</v>
      </c>
      <c r="R15" s="11" t="str">
        <f t="shared" si="5"/>
        <v>#NAME?</v>
      </c>
      <c r="T15" s="11" t="str">
        <f t="shared" si="6"/>
        <v>#NAME?</v>
      </c>
      <c r="U15" s="6" t="str">
        <f t="shared" si="7"/>
        <v>wizardlm2:7b-q8_0</v>
      </c>
    </row>
    <row r="16">
      <c r="A16" s="5">
        <f>'Respuestas de formulario 1'!A17</f>
        <v>45493.70239</v>
      </c>
      <c r="B16" s="6" t="str">
        <f>'Respuestas de formulario 1'!B17</f>
        <v>anonim5</v>
      </c>
      <c r="C16" s="6" t="str">
        <f>'Respuestas de formulario 1'!C17</f>
        <v>CHAT 1</v>
      </c>
      <c r="D16" s="6" t="str">
        <f>pregunta1('Respuestas de formulario 1'!D17)</f>
        <v>#NAME?</v>
      </c>
      <c r="E16" s="6" t="str">
        <f>pregunta2('Respuestas de formulario 1'!E17)</f>
        <v>#NAME?</v>
      </c>
      <c r="P16" s="3" t="s">
        <v>16</v>
      </c>
      <c r="Q16" s="11" t="str">
        <f t="shared" si="4"/>
        <v>#NAME?</v>
      </c>
      <c r="R16" s="11" t="str">
        <f t="shared" si="5"/>
        <v>#NAME?</v>
      </c>
      <c r="T16" s="11" t="str">
        <f t="shared" si="6"/>
        <v>#NAME?</v>
      </c>
      <c r="U16" s="6" t="str">
        <f t="shared" si="7"/>
        <v>phi3:14b-medium-128k-instruct-q6_K</v>
      </c>
    </row>
    <row r="17">
      <c r="A17" s="5">
        <f>'Respuestas de formulario 1'!A18</f>
        <v>45493.70659</v>
      </c>
      <c r="B17" s="6" t="str">
        <f>'Respuestas de formulario 1'!B18</f>
        <v>anonim5</v>
      </c>
      <c r="C17" s="6" t="str">
        <f>'Respuestas de formulario 1'!C18</f>
        <v>CHAT 2</v>
      </c>
      <c r="D17" s="6" t="str">
        <f>pregunta1('Respuestas de formulario 1'!D18)</f>
        <v>#NAME?</v>
      </c>
      <c r="E17" s="6" t="str">
        <f>pregunta2('Respuestas de formulario 1'!E18)</f>
        <v>#NAME?</v>
      </c>
      <c r="P17" s="3" t="s">
        <v>17</v>
      </c>
      <c r="Q17" s="11" t="str">
        <f t="shared" si="4"/>
        <v>#NAME?</v>
      </c>
      <c r="R17" s="11" t="str">
        <f t="shared" si="5"/>
        <v>#NAME?</v>
      </c>
      <c r="T17" s="11" t="str">
        <f t="shared" si="6"/>
        <v>#NAME?</v>
      </c>
      <c r="U17" s="6" t="str">
        <f t="shared" si="7"/>
        <v>internlm2:7b-chat-v2.5-q8_0</v>
      </c>
    </row>
    <row r="18">
      <c r="A18" s="5">
        <f>'Respuestas de formulario 1'!A19</f>
        <v>45495.52406</v>
      </c>
      <c r="B18" s="6" t="str">
        <f>'Respuestas de formulario 1'!B19</f>
        <v>anonim7</v>
      </c>
      <c r="C18" s="6" t="str">
        <f>'Respuestas de formulario 1'!C19</f>
        <v>CHAT 1</v>
      </c>
      <c r="D18" s="6" t="str">
        <f>pregunta1('Respuestas de formulario 1'!D19)</f>
        <v>#NAME?</v>
      </c>
      <c r="E18" s="6" t="str">
        <f>pregunta2('Respuestas de formulario 1'!E19)</f>
        <v>#NAME?</v>
      </c>
    </row>
    <row r="19">
      <c r="A19" s="5">
        <f>'Respuestas de formulario 1'!A20</f>
        <v>45495.52865</v>
      </c>
      <c r="B19" s="6" t="str">
        <f>'Respuestas de formulario 1'!B20</f>
        <v>anonim7</v>
      </c>
      <c r="C19" s="6" t="str">
        <f>'Respuestas de formulario 1'!C20</f>
        <v>CHAT 2</v>
      </c>
      <c r="D19" s="6" t="str">
        <f>pregunta1('Respuestas de formulario 1'!D20)</f>
        <v>#NAME?</v>
      </c>
      <c r="E19" s="3">
        <v>-1.0</v>
      </c>
    </row>
    <row r="20">
      <c r="A20" s="5">
        <f>'Respuestas de formulario 1'!A21</f>
        <v>45496.00895</v>
      </c>
      <c r="B20" s="6" t="str">
        <f>'Respuestas de formulario 1'!B21</f>
        <v>anonim7</v>
      </c>
      <c r="C20" s="6" t="str">
        <f>'Respuestas de formulario 1'!C21</f>
        <v>CHAT 1</v>
      </c>
      <c r="D20" s="6" t="str">
        <f>pregunta1('Respuestas de formulario 1'!D21)</f>
        <v>#NAME?</v>
      </c>
      <c r="E20" s="6" t="str">
        <f>pregunta2('Respuestas de formulario 1'!E21)</f>
        <v>#NAME?</v>
      </c>
    </row>
    <row r="21">
      <c r="A21" s="5">
        <f>'Respuestas de formulario 1'!A22</f>
        <v>45496.42333</v>
      </c>
      <c r="B21" s="6" t="str">
        <f>'Respuestas de formulario 1'!B22</f>
        <v>anonim11</v>
      </c>
      <c r="C21" s="6" t="str">
        <f>'Respuestas de formulario 1'!C22</f>
        <v>CHAT 1</v>
      </c>
      <c r="D21" s="6" t="str">
        <f>pregunta1('Respuestas de formulario 1'!D22)</f>
        <v>#NAME?</v>
      </c>
      <c r="E21" s="6" t="str">
        <f>pregunta2('Respuestas de formulario 1'!E22)</f>
        <v>#NAME?</v>
      </c>
    </row>
    <row r="22">
      <c r="A22" s="5">
        <f>'Respuestas de formulario 1'!A23</f>
        <v>45496.45227</v>
      </c>
      <c r="B22" s="6" t="str">
        <f>'Respuestas de formulario 1'!B23</f>
        <v>anonim11</v>
      </c>
      <c r="C22" s="6" t="str">
        <f>'Respuestas de formulario 1'!C23</f>
        <v>CHAT 2</v>
      </c>
      <c r="D22" s="3">
        <v>-1.0</v>
      </c>
      <c r="E22" s="3">
        <v>-1.0</v>
      </c>
    </row>
    <row r="23">
      <c r="A23" s="5">
        <f>'Respuestas de formulario 1'!A24</f>
        <v>45496.61547</v>
      </c>
      <c r="B23" s="6" t="str">
        <f>'Respuestas de formulario 1'!B24</f>
        <v>anonim11</v>
      </c>
      <c r="C23" s="6" t="str">
        <f>'Respuestas de formulario 1'!C24</f>
        <v>CHAT 4</v>
      </c>
      <c r="D23" s="3">
        <v>3.0</v>
      </c>
      <c r="E23" s="6" t="str">
        <f>pregunta2('Respuestas de formulario 1'!E24)</f>
        <v>#NAME?</v>
      </c>
    </row>
    <row r="24">
      <c r="A24" s="5">
        <f>'Respuestas de formulario 1'!A25</f>
        <v>45496.62316</v>
      </c>
      <c r="B24" s="6" t="str">
        <f>'Respuestas de formulario 1'!B25</f>
        <v>anonim11</v>
      </c>
      <c r="C24" s="6" t="str">
        <f>'Respuestas de formulario 1'!C25</f>
        <v>CHAT 2</v>
      </c>
      <c r="D24" s="6" t="str">
        <f>pregunta1('Respuestas de formulario 1'!D25)</f>
        <v>#NAME?</v>
      </c>
      <c r="E24" s="6" t="str">
        <f>pregunta2('Respuestas de formulario 1'!E25)</f>
        <v>#NAME?</v>
      </c>
    </row>
    <row r="25">
      <c r="A25" s="5">
        <f>'Respuestas de formulario 1'!A26</f>
        <v>45496.71604</v>
      </c>
      <c r="B25" s="6" t="str">
        <f>'Respuestas de formulario 1'!B26</f>
        <v>anonim4</v>
      </c>
      <c r="C25" s="6" t="str">
        <f>'Respuestas de formulario 1'!C26</f>
        <v>CHAT 2</v>
      </c>
      <c r="D25" s="6" t="str">
        <f>pregunta1('Respuestas de formulario 1'!D26)</f>
        <v>#NAME?</v>
      </c>
      <c r="E25" s="6" t="str">
        <f>pregunta2('Respuestas de formulario 1'!E26)</f>
        <v>#NAME?</v>
      </c>
    </row>
    <row r="26">
      <c r="A26" s="5">
        <f>'Respuestas de formulario 1'!A27</f>
        <v>45496.7163</v>
      </c>
      <c r="B26" s="6" t="str">
        <f>'Respuestas de formulario 1'!B27</f>
        <v>anonim4</v>
      </c>
      <c r="C26" s="6" t="str">
        <f>'Respuestas de formulario 1'!C27</f>
        <v>CHAT 3</v>
      </c>
      <c r="D26" s="6" t="str">
        <f>pregunta1('Respuestas de formulario 1'!D27)</f>
        <v>#NAME?</v>
      </c>
      <c r="E26" s="6" t="str">
        <f>pregunta2('Respuestas de formulario 1'!E27)</f>
        <v>#NAME?</v>
      </c>
    </row>
    <row r="27">
      <c r="A27" s="5">
        <f>'Respuestas de formulario 1'!A28</f>
        <v>45496.71653</v>
      </c>
      <c r="B27" s="6" t="str">
        <f>'Respuestas de formulario 1'!B28</f>
        <v>anonim4</v>
      </c>
      <c r="C27" s="6" t="str">
        <f>'Respuestas de formulario 1'!C28</f>
        <v>CHAT 4</v>
      </c>
      <c r="D27" s="6" t="str">
        <f>pregunta1('Respuestas de formulario 1'!D28)</f>
        <v>#NAME?</v>
      </c>
      <c r="E27" s="6" t="str">
        <f>pregunta2('Respuestas de formulario 1'!E28)</f>
        <v>#NAME?</v>
      </c>
    </row>
    <row r="28">
      <c r="A28" s="5">
        <f>'Respuestas de formulario 1'!A29</f>
        <v>45496.75371</v>
      </c>
      <c r="B28" s="6" t="str">
        <f>'Respuestas de formulario 1'!B29</f>
        <v>anonim6</v>
      </c>
      <c r="C28" s="6" t="str">
        <f>'Respuestas de formulario 1'!C29</f>
        <v>CHAT 1</v>
      </c>
      <c r="D28" s="3">
        <v>1.0</v>
      </c>
      <c r="E28" s="3">
        <v>2.0</v>
      </c>
    </row>
    <row r="29">
      <c r="A29" s="5">
        <f>'Respuestas de formulario 1'!A30</f>
        <v>45496.75808</v>
      </c>
      <c r="B29" s="6" t="str">
        <f>'Respuestas de formulario 1'!B30</f>
        <v>anonim6</v>
      </c>
      <c r="C29" s="6" t="str">
        <f>'Respuestas de formulario 1'!C30</f>
        <v>CHAT 2</v>
      </c>
      <c r="D29" s="3">
        <v>2.0</v>
      </c>
      <c r="E29" s="3">
        <v>1.0</v>
      </c>
    </row>
    <row r="30">
      <c r="A30" s="5">
        <f>'Respuestas de formulario 1'!A31</f>
        <v>45496.75969</v>
      </c>
      <c r="B30" s="6" t="str">
        <f>'Respuestas de formulario 1'!B31</f>
        <v>anonim6</v>
      </c>
      <c r="C30" s="6" t="str">
        <f>'Respuestas de formulario 1'!C31</f>
        <v>CHAT 3</v>
      </c>
      <c r="D30" s="3">
        <v>0.0</v>
      </c>
      <c r="E30" s="3">
        <v>0.0</v>
      </c>
    </row>
    <row r="31">
      <c r="A31" s="5">
        <f>'Respuestas de formulario 1'!A32</f>
        <v>45496.7669</v>
      </c>
      <c r="B31" s="6" t="str">
        <f>'Respuestas de formulario 1'!B32</f>
        <v>anonim6</v>
      </c>
      <c r="C31" s="6" t="str">
        <f>'Respuestas de formulario 1'!C32</f>
        <v>CHAT 4</v>
      </c>
      <c r="D31" s="3">
        <v>3.0</v>
      </c>
      <c r="E31" s="3">
        <v>3.0</v>
      </c>
    </row>
    <row r="32">
      <c r="A32" s="5">
        <f>'Respuestas de formulario 1'!A33</f>
        <v>45535.77014</v>
      </c>
      <c r="B32" s="6" t="str">
        <f>'Respuestas de formulario 1'!B33</f>
        <v>anonim3</v>
      </c>
      <c r="C32" s="6" t="str">
        <f>'Respuestas de formulario 1'!C33</f>
        <v>CHAT 1</v>
      </c>
      <c r="D32" s="6" t="str">
        <f>pregunta1('Respuestas de formulario 1'!D33)</f>
        <v>#NAME?</v>
      </c>
      <c r="E32" s="3">
        <v>2.0</v>
      </c>
    </row>
    <row r="33">
      <c r="A33" s="5">
        <f>'Respuestas de formulario 1'!A34</f>
        <v>45535.77162</v>
      </c>
      <c r="B33" s="6" t="str">
        <f>'Respuestas de formulario 1'!B34</f>
        <v>anonim3</v>
      </c>
      <c r="C33" s="6" t="str">
        <f>'Respuestas de formulario 1'!C34</f>
        <v>CHAT 2</v>
      </c>
      <c r="D33" s="6" t="str">
        <f>pregunta1('Respuestas de formulario 1'!D34)</f>
        <v>#NAME?</v>
      </c>
      <c r="E33" s="3">
        <v>2.0</v>
      </c>
    </row>
    <row r="34">
      <c r="A34" s="5">
        <f>'Respuestas de formulario 1'!A35</f>
        <v>45535.77202</v>
      </c>
      <c r="B34" s="6" t="str">
        <f>'Respuestas de formulario 1'!B35</f>
        <v>anonim3</v>
      </c>
      <c r="C34" s="6" t="str">
        <f>'Respuestas de formulario 1'!C35</f>
        <v>CHAT 3</v>
      </c>
      <c r="D34" s="3">
        <v>-1.0</v>
      </c>
      <c r="E34" s="3">
        <v>-1.0</v>
      </c>
    </row>
    <row r="35">
      <c r="A35" s="5">
        <f>'Respuestas de formulario 1'!A36</f>
        <v>45535.77333</v>
      </c>
      <c r="B35" s="6" t="str">
        <f>'Respuestas de formulario 1'!B36</f>
        <v>anonim3</v>
      </c>
      <c r="C35" s="6" t="str">
        <f>'Respuestas de formulario 1'!C36</f>
        <v>CHAT 4</v>
      </c>
      <c r="D35" s="6" t="str">
        <f>pregunta1('Respuestas de formulario 1'!D36)</f>
        <v>#NAME?</v>
      </c>
      <c r="E35" s="3">
        <v>4.0</v>
      </c>
    </row>
    <row r="36">
      <c r="A36" s="5">
        <f>'Respuestas de formulario 1'!A37</f>
        <v>45538.53238</v>
      </c>
      <c r="B36" s="6" t="str">
        <f>'Respuestas de formulario 1'!B37</f>
        <v>anonim1</v>
      </c>
      <c r="C36" s="6" t="str">
        <f>'Respuestas de formulario 1'!C37</f>
        <v>CHAT 1</v>
      </c>
      <c r="D36" s="3">
        <v>4.0</v>
      </c>
      <c r="E36" s="6" t="str">
        <f>pregunta2('Respuestas de formulario 1'!E37)</f>
        <v>#NAME?</v>
      </c>
    </row>
    <row r="37">
      <c r="A37" s="5">
        <f>'Respuestas de formulario 1'!A38</f>
        <v>45538.5374</v>
      </c>
      <c r="B37" s="6" t="str">
        <f>'Respuestas de formulario 1'!B38</f>
        <v>anonim1</v>
      </c>
      <c r="C37" s="6" t="str">
        <f>'Respuestas de formulario 1'!C38</f>
        <v>CHAT 2</v>
      </c>
      <c r="D37" s="6" t="str">
        <f>pregunta1('Respuestas de formulario 1'!D38)</f>
        <v>#NAME?</v>
      </c>
      <c r="E37" s="6" t="str">
        <f>pregunta2('Respuestas de formulario 1'!E38)</f>
        <v>#NAME?</v>
      </c>
    </row>
    <row r="38">
      <c r="A38" s="5">
        <f>'Respuestas de formulario 1'!A39</f>
        <v>45538.54669</v>
      </c>
      <c r="B38" s="6" t="str">
        <f>'Respuestas de formulario 1'!B39</f>
        <v>anonim1</v>
      </c>
      <c r="C38" s="6" t="str">
        <f>'Respuestas de formulario 1'!C39</f>
        <v>CHAT 4</v>
      </c>
      <c r="D38" s="3">
        <v>2.0</v>
      </c>
      <c r="E38" s="3">
        <v>2.0</v>
      </c>
    </row>
    <row r="39">
      <c r="A39" s="6" t="str">
        <f>'Respuestas de formulario 1'!A47</f>
        <v/>
      </c>
      <c r="B39" s="6" t="str">
        <f>'Respuestas de formulario 1'!B47</f>
        <v/>
      </c>
      <c r="C39" s="6" t="str">
        <f>'Respuestas de formulario 1'!C47</f>
        <v/>
      </c>
    </row>
    <row r="40">
      <c r="A40" s="6" t="str">
        <f>'Respuestas de formulario 1'!A48</f>
        <v/>
      </c>
      <c r="B40" s="6" t="str">
        <f>'Respuestas de formulario 1'!B48</f>
        <v/>
      </c>
      <c r="C40" s="6" t="str">
        <f>'Respuestas de formulario 1'!C48</f>
        <v/>
      </c>
    </row>
    <row r="41">
      <c r="A41" s="6" t="str">
        <f>'Respuestas de formulario 1'!A49</f>
        <v/>
      </c>
      <c r="B41" s="6" t="str">
        <f>'Respuestas de formulario 1'!B49</f>
        <v/>
      </c>
      <c r="C41" s="6" t="str">
        <f>'Respuestas de formulario 1'!C49</f>
        <v/>
      </c>
    </row>
    <row r="42">
      <c r="A42" s="6" t="str">
        <f>'Respuestas de formulario 1'!A50</f>
        <v/>
      </c>
      <c r="B42" s="6" t="str">
        <f>'Respuestas de formulario 1'!B50</f>
        <v/>
      </c>
      <c r="C42" s="6" t="str">
        <f>'Respuestas de formulario 1'!C50</f>
        <v/>
      </c>
    </row>
    <row r="43">
      <c r="A43" s="6" t="str">
        <f>'Respuestas de formulario 1'!A51</f>
        <v/>
      </c>
      <c r="B43" s="6" t="str">
        <f>'Respuestas de formulario 1'!B51</f>
        <v/>
      </c>
      <c r="C43" s="6" t="str">
        <f>'Respuestas de formulario 1'!C51</f>
        <v/>
      </c>
    </row>
    <row r="44">
      <c r="A44" s="6" t="str">
        <f>'Respuestas de formulario 1'!A52</f>
        <v/>
      </c>
      <c r="B44" s="6" t="str">
        <f>'Respuestas de formulario 1'!B52</f>
        <v/>
      </c>
      <c r="C44" s="6" t="str">
        <f>'Respuestas de formulario 1'!C52</f>
        <v/>
      </c>
    </row>
    <row r="45">
      <c r="A45" s="6" t="str">
        <f>'Respuestas de formulario 1'!A53</f>
        <v/>
      </c>
      <c r="B45" s="6" t="str">
        <f>'Respuestas de formulario 1'!B53</f>
        <v/>
      </c>
      <c r="C45" s="6" t="str">
        <f>'Respuestas de formulario 1'!C53</f>
        <v/>
      </c>
    </row>
    <row r="46">
      <c r="A46" s="6" t="str">
        <f>'Respuestas de formulario 1'!A54</f>
        <v/>
      </c>
      <c r="B46" s="6" t="str">
        <f>'Respuestas de formulario 1'!B54</f>
        <v/>
      </c>
      <c r="C46" s="6" t="str">
        <f>'Respuestas de formulario 1'!C54</f>
        <v/>
      </c>
    </row>
    <row r="47">
      <c r="A47" s="6" t="str">
        <f>'Respuestas de formulario 1'!A55</f>
        <v/>
      </c>
      <c r="B47" s="6" t="str">
        <f>'Respuestas de formulario 1'!B55</f>
        <v/>
      </c>
      <c r="C47" s="6" t="str">
        <f>'Respuestas de formulario 1'!C55</f>
        <v/>
      </c>
    </row>
    <row r="48">
      <c r="A48" s="6" t="str">
        <f>'Respuestas de formulario 1'!A56</f>
        <v/>
      </c>
      <c r="B48" s="6" t="str">
        <f>'Respuestas de formulario 1'!B56</f>
        <v/>
      </c>
      <c r="C48" s="6" t="str">
        <f>'Respuestas de formulario 1'!C56</f>
        <v/>
      </c>
    </row>
    <row r="49">
      <c r="A49" s="6" t="str">
        <f>'Respuestas de formulario 1'!A57</f>
        <v/>
      </c>
      <c r="B49" s="6" t="str">
        <f>'Respuestas de formulario 1'!B57</f>
        <v/>
      </c>
      <c r="C49" s="6" t="str">
        <f>'Respuestas de formulario 1'!C57</f>
        <v/>
      </c>
    </row>
    <row r="50">
      <c r="A50" s="6" t="str">
        <f>'Respuestas de formulario 1'!A58</f>
        <v/>
      </c>
      <c r="B50" s="6" t="str">
        <f>'Respuestas de formulario 1'!B58</f>
        <v/>
      </c>
      <c r="C50" s="6" t="str">
        <f>'Respuestas de formulario 1'!C58</f>
        <v/>
      </c>
    </row>
  </sheetData>
  <drawing r:id="rId1"/>
</worksheet>
</file>